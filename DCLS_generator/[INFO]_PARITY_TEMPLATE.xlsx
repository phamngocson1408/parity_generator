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pnson\parity_generator\DCLS_generator\"/>
    </mc:Choice>
  </mc:AlternateContent>
  <xr:revisionPtr revIDLastSave="0" documentId="13_ncr:1_{51385546-57A2-40D4-A43B-885BF8B4FE75}" xr6:coauthVersionLast="47" xr6:coauthVersionMax="47" xr10:uidLastSave="{00000000-0000-0000-0000-000000000000}"/>
  <bookViews>
    <workbookView xWindow="828" yWindow="-108" windowWidth="22320" windowHeight="13176" tabRatio="500" activeTab="1" xr2:uid="{00000000-000D-0000-FFFF-FFFF00000000}"/>
  </bookViews>
  <sheets>
    <sheet name="SAFETY.SIGNAL PARITY" sheetId="1" r:id="rId1"/>
    <sheet name="SAFETY.BUS PARITY" sheetId="2" r:id="rId2"/>
    <sheet name="SAFETY.REGISTER PARITY" sheetId="3" r:id="rId3"/>
    <sheet name="SAFETY.MEMO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5" i="3" l="1"/>
  <c r="Q5" i="3" s="1"/>
  <c r="I4" i="3"/>
  <c r="Q4" i="3" s="1"/>
  <c r="I3" i="3"/>
  <c r="Q3" i="3" s="1"/>
</calcChain>
</file>

<file path=xl/sharedStrings.xml><?xml version="1.0" encoding="utf-8"?>
<sst xmlns="http://schemas.openxmlformats.org/spreadsheetml/2006/main" count="258" uniqueCount="118">
  <si>
    <t>VERSION</t>
  </si>
  <si>
    <t>BLOCK NAME</t>
  </si>
  <si>
    <t>DRIVER NAME</t>
  </si>
  <si>
    <t>DRIVER INSTANCE PATH</t>
  </si>
  <si>
    <t>DRIVER SIGNAL PORT NAME</t>
  </si>
  <si>
    <t>DRIVER PARITY PORT NAME</t>
  </si>
  <si>
    <t>DRIVER FILE LIST</t>
  </si>
  <si>
    <t>DRIVER CLOCK</t>
  </si>
  <si>
    <t>DRIVER RESET</t>
  </si>
  <si>
    <t>RECEIVER NAME</t>
  </si>
  <si>
    <t>RECEIVER INSTANCE PATH</t>
  </si>
  <si>
    <t>RECEIVER SIGNAL PORT NAME</t>
  </si>
  <si>
    <t>RECEIVER PARITY PORT NAME</t>
  </si>
  <si>
    <t>RECEIVER FILE LIST</t>
  </si>
  <si>
    <t>RECEIVER ERROR PORT</t>
  </si>
  <si>
    <t>RECEIVER ERROR DOUBLE</t>
  </si>
  <si>
    <t>RECEIVER CLOCK</t>
  </si>
  <si>
    <t>RECEIVER RESET</t>
  </si>
  <si>
    <t>BIT WIDTH</t>
  </si>
  <si>
    <t>PARITY SOURCE BIT WIDTH</t>
  </si>
  <si>
    <t>FAULT INJECTION</t>
  </si>
  <si>
    <t>EVEN ODD</t>
  </si>
  <si>
    <t>NOTE</t>
  </si>
  <si>
    <t>V2.0</t>
  </si>
  <si>
    <t>BLK_CPU_WRAPPER</t>
  </si>
  <si>
    <t>AXIDMA_TOP</t>
  </si>
  <si>
    <t>u_blk_imem_wrapper.u_blk_imem.u_bos_axidma</t>
  </si>
  <si>
    <t>AXIDMA_AXI_MI0_ARADDR</t>
  </si>
  <si>
    <t>IMEM_AXI_MI0_ARADDR_PARITY</t>
  </si>
  <si>
    <t>DCLS_generator/filelist.f</t>
  </si>
  <si>
    <t>D_CLK_AXI</t>
  </si>
  <si>
    <t>D_RESETN_AXI</t>
  </si>
  <si>
    <t>BOS_BUS_MAIN_PDM_IMEM</t>
  </si>
  <si>
    <t>u_blk_imem_wrapper.u_bus_main_pdm_imem</t>
  </si>
  <si>
    <t>IMEM_AXI_MI0_ARADDR</t>
  </si>
  <si>
    <t>ERR_BUS_CPU_PDM_CPU_MAINMISSIONINT</t>
  </si>
  <si>
    <t>YES</t>
  </si>
  <si>
    <t>R_CLK_AXI</t>
  </si>
  <si>
    <t>R_RESETN_AXI</t>
  </si>
  <si>
    <t>AXIDMA_AXI_MI0_ARADDR[0]@FIERR_AXIDMA_AXI_MI0_ARADDR_BUS_PARITY</t>
  </si>
  <si>
    <t>EVEN</t>
  </si>
  <si>
    <t>- If mutiple port parity error shares one error port?</t>
  </si>
  <si>
    <t>SRAM_TOP_AXI4_SI0_AWADDR</t>
  </si>
  <si>
    <t>IMEM_AXI_MI0_AWADDR_PARITY</t>
  </si>
  <si>
    <t>IMEM_AXI_MI0_AWADDR</t>
  </si>
  <si>
    <t>SRAM_TOP_AXI4_SI0_AWADDR[1]@FIERR_AXIDMA_AXI_MI0_ARADDR_BUS_PARITY</t>
  </si>
  <si>
    <t>IMEM_AXI_MI0_RDATA</t>
  </si>
  <si>
    <t>IMEM_AXI_MI0_RDATA_PARITY</t>
  </si>
  <si>
    <t>D_CLK_BUS</t>
  </si>
  <si>
    <t>D_RESETN_BUS</t>
  </si>
  <si>
    <t>SRAM_TOP_AXI4_SI0_RDATA</t>
  </si>
  <si>
    <t>ERR_SRAM_TOP_AXI4_SI0_BUS_PARITY</t>
  </si>
  <si>
    <t>R_CLK_BUS</t>
  </si>
  <si>
    <t>R_RESETN_BUS</t>
  </si>
  <si>
    <t>IMEM_AXI_MI0_RDATA[2]@FIERR_AXIDMA_AXI_MI0_ARADDR_BUS_PARITY</t>
  </si>
  <si>
    <t>SRAM_TOP_AXI4_SI0_WDATA</t>
  </si>
  <si>
    <t>IMEM_AXI_MI0_WDATA_PARITY</t>
  </si>
  <si>
    <t>IMEM_AXI_MI0_WDATA</t>
  </si>
  <si>
    <t>SRAM_TOP_AXI4_SI0_WDATA[3]@FIERR_AXIDMA_AXI_MI0_ARADDR_BUS_PARITY</t>
  </si>
  <si>
    <t>BUS TYPE</t>
  </si>
  <si>
    <t>BUS NAME</t>
  </si>
  <si>
    <t>BUS INSTANCE PATH</t>
  </si>
  <si>
    <t>BUS SIGNAL PORT NAME</t>
  </si>
  <si>
    <t>BUS PARITY PORT NAME</t>
  </si>
  <si>
    <t>BUS FILE LIST</t>
  </si>
  <si>
    <t>BUS ERROR PORT</t>
  </si>
  <si>
    <t>BUS ERROR DOUBLE</t>
  </si>
  <si>
    <t>IP NAME</t>
  </si>
  <si>
    <t>IP CLOCK NAME</t>
  </si>
  <si>
    <t>IP RESET NAME</t>
  </si>
  <si>
    <t>IP INSTANCE PATH</t>
  </si>
  <si>
    <t>IP SIGNAL PORT NAME</t>
  </si>
  <si>
    <t>IP PARITY PORT NAME</t>
  </si>
  <si>
    <t>IP FILE LIST</t>
  </si>
  <si>
    <t>IP ERROR PORT</t>
  </si>
  <si>
    <t>IP ERROR DOUBLE</t>
  </si>
  <si>
    <t>FAULT INJECTION LOCATION</t>
  </si>
  <si>
    <t>BLK_IMEM_WRAPPER</t>
  </si>
  <si>
    <t>AXI_MI</t>
  </si>
  <si>
    <t>ERR_BUS_MAIN_PDM_IMEM_MAINMISSIONINT</t>
  </si>
  <si>
    <t>AXIDMA</t>
  </si>
  <si>
    <t>I_CLK</t>
  </si>
  <si>
    <t>I_RESETN</t>
  </si>
  <si>
    <t>AXIDMA_AXI_MI0_ARADDR_PARITY</t>
  </si>
  <si>
    <t>- [] how to process if the valid contion exist on the FI?</t>
  </si>
  <si>
    <t>AXIDMA_AXI_MI0_AWADDR</t>
  </si>
  <si>
    <t>AXIDMA_AXI_MI0_AWADDR_PARITY</t>
  </si>
  <si>
    <t>AXIDMA_AXI_MI0_AWADDR[0]@FIERR_AXIDMA_AXI_MI0_ARADDR_BUS_PARITY</t>
  </si>
  <si>
    <t>AXIDMA_AXI_MI0_RDATA</t>
  </si>
  <si>
    <t>AXIDMA_AXI_MI0_RDATA_PARITY</t>
  </si>
  <si>
    <t>ERR_AXIDMA_AXI_MI0_BUS_PARITY</t>
  </si>
  <si>
    <t>IMEM_AXI_MI0_RDATA_PARITY[0]@FIERR_AXIDMA_AXI_MI0_ARADDR_BUS_PARITY</t>
  </si>
  <si>
    <t>CHECKER</t>
  </si>
  <si>
    <t>AXIDMA_AXI_MI0_WDATA</t>
  </si>
  <si>
    <t>AXIDMA_AXI_MI0_WDATA_PARITY</t>
  </si>
  <si>
    <t>AXIDMA_AXI_MI0_WDATA[0]@FIERR_AXIDMA_AXI_MI0_ARADDR_BUS_PARITY</t>
  </si>
  <si>
    <t>REGISTER NAME</t>
  </si>
  <si>
    <t>REGISTER PATH</t>
  </si>
  <si>
    <t>REGISTER VALID</t>
  </si>
  <si>
    <t>REGISTER INPUT</t>
  </si>
  <si>
    <t>REGISTER PARITY NAME</t>
  </si>
  <si>
    <t>REGISTER CLOCK</t>
  </si>
  <si>
    <t>REGISTER RESET</t>
  </si>
  <si>
    <t>REGISTER ERROR PORT</t>
  </si>
  <si>
    <t>REGISTER ERROR DOUBLE</t>
  </si>
  <si>
    <t>OTP_TOP</t>
  </si>
  <si>
    <t>BOS_CPU_OTP_TOP</t>
  </si>
  <si>
    <t>u_blk_cpu.u_bos_cpu_otp_top.u_OTP_OSC_CLK</t>
  </si>
  <si>
    <t>r_rm_om_data</t>
  </si>
  <si>
    <t>wen &amp;&amp; (waddr == 32'h0000_0000)</t>
  </si>
  <si>
    <t>wdata</t>
  </si>
  <si>
    <t>clk</t>
  </si>
  <si>
    <t>rst_n</t>
  </si>
  <si>
    <t>ERR_CPU_OTP_TOP_OM_DATA_PARITY</t>
  </si>
  <si>
    <t>r_mmio_data</t>
  </si>
  <si>
    <t>wen &amp;&amp; (waddr == 32'h0000_0004)</t>
  </si>
  <si>
    <t>wen &amp;&amp; (waddr == 32'h0000_0004) &amp;&amp; w_en</t>
  </si>
  <si>
    <t>w_data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</si>
</sst>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맑은 고딕"/>
      <family val="2"/>
      <charset val="129"/>
    </font>
    <font>
      <sz val="9"/>
      <color rgb="FF000000"/>
      <name val="맑은 고딕"/>
      <family val="2"/>
      <charset val="129"/>
    </font>
    <font>
      <sz val="9"/>
      <color rgb="FF000000"/>
      <name val="맑은 고딕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C6"/>
  <sheetViews>
    <sheetView zoomScaleNormal="100" workbookViewId="0">
      <selection activeCell="D14" sqref="D14"/>
    </sheetView>
  </sheetViews>
  <sheetFormatPr defaultRowHeight="17.399999999999999"/>
  <cols>
    <col min="1" max="1" width="9.09765625" customWidth="1"/>
    <col min="2" max="2" width="15.3984375" customWidth="1"/>
    <col min="3" max="3" width="19.09765625" customWidth="1"/>
    <col min="4" max="4" width="34.69921875" customWidth="1"/>
    <col min="5" max="5" width="21.09765625" customWidth="1"/>
    <col min="6" max="6" width="14.5" customWidth="1"/>
    <col min="7" max="7" width="15.5" customWidth="1"/>
    <col min="8" max="8" width="11.5"/>
    <col min="9" max="9" width="11.19921875" customWidth="1"/>
    <col min="10" max="10" width="19.09765625" customWidth="1"/>
    <col min="11" max="11" width="33.3984375" customWidth="1"/>
    <col min="12" max="12" width="22.09765625" customWidth="1"/>
    <col min="13" max="13" width="17" customWidth="1"/>
    <col min="14" max="14" width="19" customWidth="1"/>
    <col min="15" max="15" width="29.5" customWidth="1"/>
    <col min="16" max="16" width="18.3984375" customWidth="1"/>
    <col min="17" max="17" width="17.59765625" customWidth="1"/>
    <col min="18" max="18" width="15.69921875" customWidth="1"/>
    <col min="19" max="19" width="8.3984375" customWidth="1"/>
    <col min="20" max="20" width="19.5" customWidth="1"/>
    <col min="21" max="21" width="26.59765625" customWidth="1"/>
    <col min="22" max="23" width="21.09765625" customWidth="1"/>
    <col min="24" max="1025" width="9.09765625" customWidth="1"/>
  </cols>
  <sheetData>
    <row r="2" spans="1:29" s="3" customFormat="1" ht="13.2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1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</row>
    <row r="3" spans="1:29" s="3" customFormat="1" ht="39.6">
      <c r="A3" s="4" t="s">
        <v>23</v>
      </c>
      <c r="B3" s="5" t="s">
        <v>24</v>
      </c>
      <c r="C3" s="6" t="s">
        <v>25</v>
      </c>
      <c r="D3" s="6" t="s">
        <v>26</v>
      </c>
      <c r="E3" s="6" t="s">
        <v>27</v>
      </c>
      <c r="F3" s="6" t="s">
        <v>28</v>
      </c>
      <c r="G3" s="6" t="s">
        <v>29</v>
      </c>
      <c r="H3" s="6" t="s">
        <v>30</v>
      </c>
      <c r="I3" s="6" t="s">
        <v>31</v>
      </c>
      <c r="J3" s="6" t="s">
        <v>32</v>
      </c>
      <c r="K3" s="6" t="s">
        <v>33</v>
      </c>
      <c r="L3" s="6" t="s">
        <v>34</v>
      </c>
      <c r="M3" s="6" t="s">
        <v>28</v>
      </c>
      <c r="N3" s="6" t="s">
        <v>29</v>
      </c>
      <c r="O3" s="7" t="s">
        <v>35</v>
      </c>
      <c r="P3" s="3" t="s">
        <v>36</v>
      </c>
      <c r="Q3" s="6" t="s">
        <v>37</v>
      </c>
      <c r="R3" s="6" t="s">
        <v>38</v>
      </c>
      <c r="S3" s="7">
        <v>32</v>
      </c>
      <c r="T3" s="7">
        <v>8</v>
      </c>
      <c r="U3" s="8" t="s">
        <v>39</v>
      </c>
      <c r="V3" s="8" t="s">
        <v>40</v>
      </c>
      <c r="W3" s="9" t="s">
        <v>41</v>
      </c>
      <c r="AC3" s="6"/>
    </row>
    <row r="4" spans="1:29" s="3" customFormat="1" ht="39.6">
      <c r="A4" s="6"/>
      <c r="B4" s="5" t="s">
        <v>24</v>
      </c>
      <c r="C4" s="6" t="s">
        <v>25</v>
      </c>
      <c r="D4" s="6" t="s">
        <v>26</v>
      </c>
      <c r="E4" s="3" t="s">
        <v>42</v>
      </c>
      <c r="F4" s="6" t="s">
        <v>43</v>
      </c>
      <c r="G4" s="6" t="s">
        <v>29</v>
      </c>
      <c r="H4" s="6" t="s">
        <v>30</v>
      </c>
      <c r="I4" s="6" t="s">
        <v>31</v>
      </c>
      <c r="J4" s="6" t="s">
        <v>32</v>
      </c>
      <c r="K4" s="6" t="s">
        <v>33</v>
      </c>
      <c r="L4" s="6" t="s">
        <v>44</v>
      </c>
      <c r="M4" s="6" t="s">
        <v>43</v>
      </c>
      <c r="N4" s="6" t="s">
        <v>29</v>
      </c>
      <c r="O4" s="7" t="s">
        <v>35</v>
      </c>
      <c r="P4" s="3" t="s">
        <v>36</v>
      </c>
      <c r="Q4" s="6" t="s">
        <v>37</v>
      </c>
      <c r="R4" s="6" t="s">
        <v>38</v>
      </c>
      <c r="S4" s="7">
        <v>32</v>
      </c>
      <c r="T4" s="7">
        <v>8</v>
      </c>
      <c r="U4" s="8" t="s">
        <v>45</v>
      </c>
      <c r="V4" s="8" t="s">
        <v>40</v>
      </c>
      <c r="AC4" s="6"/>
    </row>
    <row r="5" spans="1:29" s="3" customFormat="1" ht="26.4">
      <c r="A5" s="6"/>
      <c r="B5" s="5" t="s">
        <v>24</v>
      </c>
      <c r="C5" s="6" t="s">
        <v>32</v>
      </c>
      <c r="D5" s="6" t="s">
        <v>33</v>
      </c>
      <c r="E5" s="6" t="s">
        <v>46</v>
      </c>
      <c r="F5" s="6" t="s">
        <v>47</v>
      </c>
      <c r="G5" s="6" t="s">
        <v>29</v>
      </c>
      <c r="H5" s="3" t="s">
        <v>48</v>
      </c>
      <c r="I5" s="3" t="s">
        <v>49</v>
      </c>
      <c r="J5" s="6" t="s">
        <v>25</v>
      </c>
      <c r="K5" s="6" t="s">
        <v>26</v>
      </c>
      <c r="L5" s="3" t="s">
        <v>50</v>
      </c>
      <c r="M5" s="6" t="s">
        <v>47</v>
      </c>
      <c r="N5" s="6" t="s">
        <v>29</v>
      </c>
      <c r="O5" s="3" t="s">
        <v>51</v>
      </c>
      <c r="P5" s="3" t="s">
        <v>36</v>
      </c>
      <c r="Q5" s="3" t="s">
        <v>52</v>
      </c>
      <c r="R5" s="3" t="s">
        <v>53</v>
      </c>
      <c r="S5" s="7">
        <v>128</v>
      </c>
      <c r="T5" s="7">
        <v>32</v>
      </c>
      <c r="U5" s="8" t="s">
        <v>54</v>
      </c>
      <c r="V5" s="8" t="s">
        <v>40</v>
      </c>
      <c r="AC5" s="6"/>
    </row>
    <row r="6" spans="1:29" s="3" customFormat="1" ht="39.6">
      <c r="A6" s="6"/>
      <c r="B6" s="5" t="s">
        <v>24</v>
      </c>
      <c r="C6" s="6" t="s">
        <v>25</v>
      </c>
      <c r="D6" s="6" t="s">
        <v>26</v>
      </c>
      <c r="E6" s="3" t="s">
        <v>55</v>
      </c>
      <c r="F6" s="6" t="s">
        <v>56</v>
      </c>
      <c r="G6" s="6" t="s">
        <v>29</v>
      </c>
      <c r="H6" s="6" t="s">
        <v>30</v>
      </c>
      <c r="I6" s="6" t="s">
        <v>31</v>
      </c>
      <c r="J6" s="6" t="s">
        <v>32</v>
      </c>
      <c r="K6" s="6" t="s">
        <v>33</v>
      </c>
      <c r="L6" s="6" t="s">
        <v>57</v>
      </c>
      <c r="M6" s="6" t="s">
        <v>56</v>
      </c>
      <c r="N6" s="6" t="s">
        <v>29</v>
      </c>
      <c r="O6" s="7" t="s">
        <v>35</v>
      </c>
      <c r="P6" s="3" t="s">
        <v>36</v>
      </c>
      <c r="Q6" s="6" t="s">
        <v>37</v>
      </c>
      <c r="R6" s="6" t="s">
        <v>38</v>
      </c>
      <c r="S6" s="7">
        <v>128</v>
      </c>
      <c r="T6" s="7">
        <v>32</v>
      </c>
      <c r="U6" s="8" t="s">
        <v>58</v>
      </c>
      <c r="V6" s="8" t="s">
        <v>40</v>
      </c>
      <c r="AC6" s="6"/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Y6"/>
  <sheetViews>
    <sheetView tabSelected="1" zoomScale="115" zoomScaleNormal="115" workbookViewId="0">
      <selection activeCell="C3" sqref="C3"/>
    </sheetView>
  </sheetViews>
  <sheetFormatPr defaultRowHeight="17.399999999999999"/>
  <cols>
    <col min="1" max="1" width="7" customWidth="1"/>
    <col min="2" max="2" width="15.296875" bestFit="1" customWidth="1"/>
    <col min="3" max="3" width="7.296875" bestFit="1" customWidth="1"/>
    <col min="4" max="4" width="20.296875" bestFit="1" customWidth="1"/>
    <col min="5" max="5" width="31.59765625" bestFit="1" customWidth="1"/>
    <col min="6" max="6" width="18.3984375" bestFit="1" customWidth="1"/>
    <col min="7" max="7" width="23.69921875" bestFit="1" customWidth="1"/>
    <col min="8" max="8" width="14.5" customWidth="1"/>
    <col min="9" max="9" width="33.296875" bestFit="1" customWidth="1"/>
    <col min="10" max="10" width="15.09765625" bestFit="1" customWidth="1"/>
    <col min="11" max="11" width="6.8984375" bestFit="1" customWidth="1"/>
    <col min="12" max="12" width="12.09765625" bestFit="1" customWidth="1"/>
    <col min="13" max="13" width="11.3984375" bestFit="1" customWidth="1"/>
    <col min="14" max="14" width="33.3984375" bestFit="1" customWidth="1"/>
    <col min="15" max="15" width="19.8984375" bestFit="1" customWidth="1"/>
    <col min="16" max="16" width="25.5" bestFit="1" customWidth="1"/>
    <col min="17" max="17" width="17.09765625" bestFit="1" customWidth="1"/>
    <col min="18" max="18" width="24.19921875" customWidth="1"/>
    <col min="19" max="19" width="13.09765625" customWidth="1"/>
    <col min="20" max="20" width="8.19921875" customWidth="1"/>
    <col min="21" max="21" width="21" customWidth="1"/>
    <col min="22" max="22" width="29.5" customWidth="1"/>
    <col min="23" max="23" width="21" bestFit="1" customWidth="1"/>
    <col min="24" max="25" width="19.3984375" customWidth="1"/>
    <col min="26" max="1025" width="9.09765625" customWidth="1"/>
  </cols>
  <sheetData>
    <row r="2" spans="1:25" s="6" customFormat="1" ht="13.2">
      <c r="A2" s="1" t="s">
        <v>0</v>
      </c>
      <c r="B2" s="1" t="s">
        <v>1</v>
      </c>
      <c r="C2" s="1" t="s">
        <v>59</v>
      </c>
      <c r="D2" s="1" t="s">
        <v>60</v>
      </c>
      <c r="E2" s="1" t="s">
        <v>61</v>
      </c>
      <c r="F2" s="1" t="s">
        <v>62</v>
      </c>
      <c r="G2" s="1" t="s">
        <v>63</v>
      </c>
      <c r="H2" s="1" t="s">
        <v>64</v>
      </c>
      <c r="I2" s="1" t="s">
        <v>65</v>
      </c>
      <c r="J2" s="1" t="s">
        <v>66</v>
      </c>
      <c r="K2" s="1" t="s">
        <v>67</v>
      </c>
      <c r="L2" s="1" t="s">
        <v>68</v>
      </c>
      <c r="M2" s="1" t="s">
        <v>69</v>
      </c>
      <c r="N2" s="1" t="s">
        <v>70</v>
      </c>
      <c r="O2" s="1" t="s">
        <v>71</v>
      </c>
      <c r="P2" s="1" t="s">
        <v>72</v>
      </c>
      <c r="Q2" s="1" t="s">
        <v>73</v>
      </c>
      <c r="R2" s="1" t="s">
        <v>74</v>
      </c>
      <c r="S2" s="1" t="s">
        <v>75</v>
      </c>
      <c r="T2" s="1" t="s">
        <v>18</v>
      </c>
      <c r="U2" s="1" t="s">
        <v>19</v>
      </c>
      <c r="V2" s="1" t="s">
        <v>20</v>
      </c>
      <c r="W2" s="1" t="s">
        <v>76</v>
      </c>
      <c r="X2" s="1" t="s">
        <v>21</v>
      </c>
      <c r="Y2" s="1" t="s">
        <v>22</v>
      </c>
    </row>
    <row r="3" spans="1:25" s="4" customFormat="1" ht="39.6">
      <c r="A3" s="4" t="s">
        <v>23</v>
      </c>
      <c r="B3" s="4" t="s">
        <v>77</v>
      </c>
      <c r="C3" s="4" t="s">
        <v>78</v>
      </c>
      <c r="D3" s="6" t="s">
        <v>32</v>
      </c>
      <c r="E3" s="6" t="s">
        <v>33</v>
      </c>
      <c r="F3" s="6" t="s">
        <v>34</v>
      </c>
      <c r="G3" s="6" t="s">
        <v>28</v>
      </c>
      <c r="H3" s="6"/>
      <c r="I3" s="6" t="s">
        <v>79</v>
      </c>
      <c r="J3" s="6" t="s">
        <v>36</v>
      </c>
      <c r="K3" s="6" t="s">
        <v>80</v>
      </c>
      <c r="L3" s="6" t="s">
        <v>81</v>
      </c>
      <c r="M3" s="6" t="s">
        <v>82</v>
      </c>
      <c r="N3" s="6" t="s">
        <v>26</v>
      </c>
      <c r="O3" s="6" t="s">
        <v>27</v>
      </c>
      <c r="P3" s="6" t="s">
        <v>83</v>
      </c>
      <c r="Q3" s="6" t="s">
        <v>29</v>
      </c>
      <c r="R3" s="6"/>
      <c r="S3" s="6"/>
      <c r="T3" s="6">
        <v>40</v>
      </c>
      <c r="U3" s="6">
        <v>8</v>
      </c>
      <c r="V3" s="8" t="s">
        <v>39</v>
      </c>
      <c r="W3" s="8"/>
      <c r="X3" s="8" t="s">
        <v>40</v>
      </c>
      <c r="Y3" s="10" t="s">
        <v>84</v>
      </c>
    </row>
    <row r="4" spans="1:25" ht="26.4">
      <c r="B4" s="4" t="s">
        <v>77</v>
      </c>
      <c r="C4" s="4" t="s">
        <v>78</v>
      </c>
      <c r="D4" s="6" t="s">
        <v>32</v>
      </c>
      <c r="E4" s="6" t="s">
        <v>33</v>
      </c>
      <c r="F4" s="6" t="s">
        <v>44</v>
      </c>
      <c r="G4" s="6" t="s">
        <v>43</v>
      </c>
      <c r="H4" s="6"/>
      <c r="I4" s="6" t="s">
        <v>79</v>
      </c>
      <c r="J4" s="6" t="s">
        <v>36</v>
      </c>
      <c r="K4" s="6" t="s">
        <v>80</v>
      </c>
      <c r="L4" s="6" t="s">
        <v>81</v>
      </c>
      <c r="M4" s="6" t="s">
        <v>82</v>
      </c>
      <c r="N4" s="6" t="s">
        <v>26</v>
      </c>
      <c r="O4" s="6" t="s">
        <v>85</v>
      </c>
      <c r="P4" s="6" t="s">
        <v>86</v>
      </c>
      <c r="Q4" s="6" t="s">
        <v>29</v>
      </c>
      <c r="R4" s="6"/>
      <c r="S4" s="6"/>
      <c r="T4" s="6">
        <v>40</v>
      </c>
      <c r="U4" s="6">
        <v>8</v>
      </c>
      <c r="V4" s="8" t="s">
        <v>87</v>
      </c>
      <c r="W4" s="8"/>
      <c r="X4" s="8" t="s">
        <v>40</v>
      </c>
    </row>
    <row r="5" spans="1:25" ht="26.4">
      <c r="B5" s="4" t="s">
        <v>77</v>
      </c>
      <c r="C5" s="4" t="s">
        <v>78</v>
      </c>
      <c r="D5" s="6" t="s">
        <v>32</v>
      </c>
      <c r="E5" s="6" t="s">
        <v>33</v>
      </c>
      <c r="F5" s="6" t="s">
        <v>88</v>
      </c>
      <c r="G5" s="6" t="s">
        <v>89</v>
      </c>
      <c r="H5" s="6"/>
      <c r="I5" s="6"/>
      <c r="J5" s="6"/>
      <c r="K5" s="6" t="s">
        <v>80</v>
      </c>
      <c r="L5" s="6" t="s">
        <v>81</v>
      </c>
      <c r="M5" s="6" t="s">
        <v>82</v>
      </c>
      <c r="N5" s="6" t="s">
        <v>26</v>
      </c>
      <c r="O5" s="6" t="s">
        <v>46</v>
      </c>
      <c r="P5" s="6" t="s">
        <v>47</v>
      </c>
      <c r="Q5" s="6" t="s">
        <v>29</v>
      </c>
      <c r="R5" s="6" t="s">
        <v>90</v>
      </c>
      <c r="S5" s="6" t="s">
        <v>36</v>
      </c>
      <c r="T5" s="6">
        <v>256</v>
      </c>
      <c r="U5" s="6">
        <v>32</v>
      </c>
      <c r="V5" s="8" t="s">
        <v>91</v>
      </c>
      <c r="W5" s="8" t="s">
        <v>92</v>
      </c>
      <c r="X5" s="8" t="s">
        <v>40</v>
      </c>
    </row>
    <row r="6" spans="1:25" ht="26.4">
      <c r="B6" s="4" t="s">
        <v>77</v>
      </c>
      <c r="C6" s="4" t="s">
        <v>78</v>
      </c>
      <c r="D6" s="6" t="s">
        <v>32</v>
      </c>
      <c r="E6" s="6" t="s">
        <v>33</v>
      </c>
      <c r="F6" s="6" t="s">
        <v>57</v>
      </c>
      <c r="G6" s="6" t="s">
        <v>56</v>
      </c>
      <c r="H6" s="6"/>
      <c r="I6" s="6" t="s">
        <v>79</v>
      </c>
      <c r="J6" s="6" t="s">
        <v>36</v>
      </c>
      <c r="K6" s="6" t="s">
        <v>80</v>
      </c>
      <c r="L6" s="6" t="s">
        <v>81</v>
      </c>
      <c r="M6" s="6" t="s">
        <v>82</v>
      </c>
      <c r="N6" s="6" t="s">
        <v>26</v>
      </c>
      <c r="O6" s="6" t="s">
        <v>93</v>
      </c>
      <c r="P6" s="6" t="s">
        <v>94</v>
      </c>
      <c r="Q6" s="6" t="s">
        <v>29</v>
      </c>
      <c r="R6" s="6"/>
      <c r="S6" s="6"/>
      <c r="T6" s="6">
        <v>256</v>
      </c>
      <c r="U6" s="6">
        <v>32</v>
      </c>
      <c r="V6" s="8" t="s">
        <v>95</v>
      </c>
      <c r="W6" s="8"/>
      <c r="X6" s="8" t="s">
        <v>40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S5"/>
  <sheetViews>
    <sheetView zoomScale="140" zoomScaleNormal="140" workbookViewId="0">
      <selection activeCell="M20" sqref="M20"/>
    </sheetView>
  </sheetViews>
  <sheetFormatPr defaultRowHeight="17.399999999999999"/>
  <cols>
    <col min="1" max="1" width="7" customWidth="1"/>
    <col min="2" max="3" width="15.5" customWidth="1"/>
    <col min="4" max="4" width="19.59765625" customWidth="1"/>
    <col min="5" max="5" width="33.19921875" customWidth="1"/>
    <col min="6" max="6" width="17.59765625" customWidth="1"/>
    <col min="7" max="7" width="12.5" customWidth="1"/>
    <col min="8" max="8" width="17.3984375" customWidth="1"/>
    <col min="9" max="10" width="23.09765625" customWidth="1"/>
    <col min="11" max="12" width="14.5" customWidth="1"/>
    <col min="13" max="13" width="27.5" customWidth="1"/>
    <col min="14" max="14" width="17.3984375" customWidth="1"/>
    <col min="15" max="15" width="8.19921875" customWidth="1"/>
    <col min="16" max="16" width="19.5" customWidth="1"/>
    <col min="17" max="17" width="29.5" customWidth="1"/>
    <col min="18" max="19" width="19.3984375" customWidth="1"/>
    <col min="20" max="1025" width="9.09765625" customWidth="1"/>
  </cols>
  <sheetData>
    <row r="2" spans="1:19" s="6" customFormat="1" ht="13.2">
      <c r="A2" s="1" t="s">
        <v>0</v>
      </c>
      <c r="B2" s="1" t="s">
        <v>1</v>
      </c>
      <c r="C2" s="1" t="s">
        <v>67</v>
      </c>
      <c r="D2" s="1" t="s">
        <v>96</v>
      </c>
      <c r="E2" s="1" t="s">
        <v>97</v>
      </c>
      <c r="F2" s="1" t="s">
        <v>96</v>
      </c>
      <c r="G2" s="1" t="s">
        <v>98</v>
      </c>
      <c r="H2" s="1" t="s">
        <v>99</v>
      </c>
      <c r="I2" s="1" t="s">
        <v>100</v>
      </c>
      <c r="J2" s="1" t="s">
        <v>101</v>
      </c>
      <c r="K2" s="1" t="s">
        <v>102</v>
      </c>
      <c r="L2" s="1" t="s">
        <v>73</v>
      </c>
      <c r="M2" s="1" t="s">
        <v>103</v>
      </c>
      <c r="N2" s="1" t="s">
        <v>104</v>
      </c>
      <c r="O2" s="1" t="s">
        <v>18</v>
      </c>
      <c r="P2" s="1" t="s">
        <v>19</v>
      </c>
      <c r="Q2" s="1" t="s">
        <v>20</v>
      </c>
      <c r="R2" s="1" t="s">
        <v>21</v>
      </c>
      <c r="S2" s="1" t="s">
        <v>22</v>
      </c>
    </row>
    <row r="3" spans="1:19" s="4" customFormat="1" ht="13.2">
      <c r="A3" s="4" t="s">
        <v>23</v>
      </c>
      <c r="B3" s="4" t="s">
        <v>24</v>
      </c>
      <c r="C3" s="6" t="s">
        <v>105</v>
      </c>
      <c r="D3" s="6" t="s">
        <v>106</v>
      </c>
      <c r="E3" s="6" t="s">
        <v>107</v>
      </c>
      <c r="F3" s="6" t="s">
        <v>108</v>
      </c>
      <c r="G3" s="6" t="s">
        <v>109</v>
      </c>
      <c r="H3" s="6" t="s">
        <v>110</v>
      </c>
      <c r="I3" s="6" t="str">
        <f>F3&amp;"_parity"</f>
        <v>r_rm_om_data_parity</v>
      </c>
      <c r="J3" s="6" t="s">
        <v>111</v>
      </c>
      <c r="K3" s="6" t="s">
        <v>112</v>
      </c>
      <c r="L3" s="6" t="s">
        <v>29</v>
      </c>
      <c r="M3" s="6" t="s">
        <v>113</v>
      </c>
      <c r="N3" s="6" t="s">
        <v>36</v>
      </c>
      <c r="O3" s="6">
        <v>40</v>
      </c>
      <c r="P3" s="6">
        <v>8</v>
      </c>
      <c r="Q3" s="8" t="str">
        <f>I3&amp;"[1]@FIERR_REGISTER"</f>
        <v>r_rm_om_data_parity[1]@FIERR_REGISTER</v>
      </c>
      <c r="R3" s="8" t="s">
        <v>40</v>
      </c>
      <c r="S3" s="10"/>
    </row>
    <row r="4" spans="1:19" s="4" customFormat="1" ht="13.2">
      <c r="A4" s="4" t="s">
        <v>23</v>
      </c>
      <c r="B4" s="4" t="s">
        <v>24</v>
      </c>
      <c r="C4" s="6" t="s">
        <v>105</v>
      </c>
      <c r="D4" s="6" t="s">
        <v>106</v>
      </c>
      <c r="E4" s="6" t="s">
        <v>107</v>
      </c>
      <c r="F4" s="6" t="s">
        <v>114</v>
      </c>
      <c r="G4" s="6" t="s">
        <v>115</v>
      </c>
      <c r="H4" s="6" t="s">
        <v>110</v>
      </c>
      <c r="I4" s="6" t="str">
        <f>F4&amp;"_parity"</f>
        <v>r_mmio_data_parity</v>
      </c>
      <c r="J4" s="6" t="s">
        <v>111</v>
      </c>
      <c r="K4" s="6" t="s">
        <v>112</v>
      </c>
      <c r="L4" s="6" t="s">
        <v>29</v>
      </c>
      <c r="M4" s="6" t="s">
        <v>113</v>
      </c>
      <c r="N4" s="6" t="s">
        <v>36</v>
      </c>
      <c r="O4" s="6">
        <v>40</v>
      </c>
      <c r="P4" s="6">
        <v>8</v>
      </c>
      <c r="Q4" s="8" t="str">
        <f>I4&amp;"[2]@FIERR_REGISTER"</f>
        <v>r_mmio_data_parity[2]@FIERR_REGISTER</v>
      </c>
      <c r="R4" s="8" t="s">
        <v>40</v>
      </c>
      <c r="S4" s="10"/>
    </row>
    <row r="5" spans="1:19" s="4" customFormat="1" ht="13.2">
      <c r="A5" s="4" t="s">
        <v>23</v>
      </c>
      <c r="B5" s="4" t="s">
        <v>24</v>
      </c>
      <c r="C5" s="6" t="s">
        <v>105</v>
      </c>
      <c r="D5" s="6" t="s">
        <v>106</v>
      </c>
      <c r="E5" s="6" t="s">
        <v>107</v>
      </c>
      <c r="F5" s="6" t="s">
        <v>114</v>
      </c>
      <c r="G5" s="6" t="s">
        <v>116</v>
      </c>
      <c r="H5" s="6" t="s">
        <v>117</v>
      </c>
      <c r="I5" s="6" t="str">
        <f>F5&amp;"_parity"</f>
        <v>r_mmio_data_parity</v>
      </c>
      <c r="J5" s="6" t="s">
        <v>111</v>
      </c>
      <c r="K5" s="6" t="s">
        <v>112</v>
      </c>
      <c r="L5" s="6" t="s">
        <v>29</v>
      </c>
      <c r="M5" s="6" t="s">
        <v>113</v>
      </c>
      <c r="N5" s="6" t="s">
        <v>36</v>
      </c>
      <c r="O5" s="6">
        <v>40</v>
      </c>
      <c r="P5" s="6">
        <v>8</v>
      </c>
      <c r="Q5" s="8" t="str">
        <f>I5&amp;"[2]@FIERR_REGISTER"</f>
        <v>r_mmio_data_parity[2]@FIERR_REGISTER</v>
      </c>
      <c r="R5" s="8" t="s">
        <v>40</v>
      </c>
      <c r="S5" s="10"/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zoomScale="140" zoomScaleNormal="140" workbookViewId="0">
      <selection activeCell="C11" sqref="C11"/>
    </sheetView>
  </sheetViews>
  <sheetFormatPr defaultRowHeight="17.399999999999999"/>
  <cols>
    <col min="1" max="1" width="9.09765625" customWidth="1"/>
    <col min="2" max="2" width="26.8984375" customWidth="1"/>
    <col min="3" max="3" width="55.3984375" customWidth="1"/>
    <col min="4" max="1025" width="9.09765625" customWidth="1"/>
  </cols>
  <sheetData/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6353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SAFETY.SIGNAL PARITY</vt:lpstr>
      <vt:lpstr>SAFETY.BUS PARITY</vt:lpstr>
      <vt:lpstr>SAFETY.REGISTER PARITY</vt:lpstr>
      <vt:lpstr>SAFETY.MEMO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최창원</dc:creator>
  <dc:description/>
  <cp:lastModifiedBy>Pham Ngoc Son (팜응옥손)</cp:lastModifiedBy>
  <cp:revision>37</cp:revision>
  <dcterms:created xsi:type="dcterms:W3CDTF">2023-07-25T02:52:44Z</dcterms:created>
  <dcterms:modified xsi:type="dcterms:W3CDTF">2026-01-05T14:01:50Z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0x010100C7D29BA3C9246B4395F13E8BB5C5CA51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MediaServiceImageTags">
    <vt:lpwstr/>
  </property>
  <property fmtid="{D5CDD505-2E9C-101B-9397-08002B2CF9AE}" pid="8" name="ScaleCrop">
    <vt:bool>false</vt:bool>
  </property>
  <property fmtid="{D5CDD505-2E9C-101B-9397-08002B2CF9AE}" pid="9" name="ShareDoc">
    <vt:bool>false</vt:bool>
  </property>
</Properties>
</file>